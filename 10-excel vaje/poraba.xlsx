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a\RP\racunalniski-praktikum\10-excel vaje\"/>
    </mc:Choice>
  </mc:AlternateContent>
  <xr:revisionPtr revIDLastSave="0" documentId="13_ncr:1_{E9763F1D-CA30-4FB7-8F45-757EC44E7A9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19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  <c r="G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<sst xmlns="http://schemas.openxmlformats.org/spreadsheetml/2006/main" count="22" uniqueCount="21">
  <si>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</si>
  <si>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</si>
  <si>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</si>
  <si>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</si>
  <si>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</si>
  <si>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</si>
  <si>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</si>
  <si>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</si>
  <si>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</si>
  <si>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</si>
  <si>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Oznake stolpcev</t>
  </si>
  <si>
    <t>Skupna vsota</t>
  </si>
  <si>
    <t>maj</t>
  </si>
  <si>
    <t>jun</t>
  </si>
  <si>
    <t>jul</t>
  </si>
  <si>
    <t>avg</t>
  </si>
  <si>
    <t>sep</t>
  </si>
  <si>
    <t>okt</t>
  </si>
  <si>
    <t>Vsota od Prevoženo</t>
  </si>
  <si>
    <t>Povprečje od Poraba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</si>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</sst>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avadno" xfId="0" builtinId="0"/>
  </cellStyles>
  <dxfs count="12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a" refreshedDate="45999.802795138887" createdVersion="8" refreshedVersion="8" minRefreshableVersion="3" recordCount="19" xr:uid="{2A8D2492-5B80-4110-A901-56D7E3BA1744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0">
      <sharedItems containsSemiMixedTypes="0" containsString="0" containsNumber="1" minValue="1.3819999999999999" maxValue="1.5880000000000001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MixedTypes="1" containsNumber="1" minValue="6.3103953147877023" maxValue="8.1008968609865484"/>
    </cacheField>
    <cacheField name="Prikaz" numFmtId="0">
      <sharedItems containsString="0" containsBlank="1" containsNumber="1" minValue="6.3103953147877023" maxValue="8.1008968609865484"/>
    </cacheField>
    <cacheField name="Dnevi (Datum)" numFmtId="0" databaseField="0">
      <fieldGroup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Meseci (Datum)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1.4159999999999999"/>
    <n v="41907"/>
    <s v=""/>
    <s v=""/>
    <m/>
  </r>
  <r>
    <x v="1"/>
    <n v="43.02"/>
    <n v="1.39"/>
    <n v="42521"/>
    <n v="614"/>
    <n v="7.006514657980456"/>
    <n v="7.006514657980456"/>
  </r>
  <r>
    <x v="2"/>
    <n v="41.67"/>
    <n v="1.39"/>
    <n v="43181"/>
    <n v="660"/>
    <n v="6.3136363636363644"/>
    <n v="6.3136363636363644"/>
  </r>
  <r>
    <x v="3"/>
    <n v="34.04"/>
    <n v="1.3819999999999999"/>
    <n v="43696"/>
    <n v="515"/>
    <n v="6.6097087378640769"/>
    <n v="6.6097087378640769"/>
  </r>
  <r>
    <x v="4"/>
    <n v="42.42"/>
    <n v="1.4119999999999999"/>
    <n v="44314"/>
    <n v="618"/>
    <n v="6.8640776699029127"/>
    <n v="6.8640776699029127"/>
  </r>
  <r>
    <x v="5"/>
    <n v="43.1"/>
    <n v="1.4119999999999999"/>
    <n v="44997"/>
    <n v="683"/>
    <n v="6.3103953147877023"/>
    <n v="6.3103953147877023"/>
  </r>
  <r>
    <x v="6"/>
    <n v="38.18"/>
    <n v="1.4239999999999999"/>
    <n v="45546"/>
    <n v="549"/>
    <n v="6.9544626593806917"/>
    <n v="6.9544626593806917"/>
  </r>
  <r>
    <x v="7"/>
    <n v="40.659999999999997"/>
    <n v="1.444"/>
    <n v="46126"/>
    <n v="580"/>
    <n v="7.0103448275862066"/>
    <n v="7.0103448275862066"/>
  </r>
  <r>
    <x v="8"/>
    <n v="39.17"/>
    <n v="1.444"/>
    <n v="46687"/>
    <n v="561"/>
    <n v="6.9821746880570412"/>
    <n v="6.9821746880570412"/>
  </r>
  <r>
    <x v="9"/>
    <n v="40.29"/>
    <n v="1.456"/>
    <n v="47250"/>
    <n v="563"/>
    <n v="7.1563055062166967"/>
    <n v="7.1563055062166967"/>
  </r>
  <r>
    <x v="10"/>
    <n v="41.01"/>
    <n v="1.456"/>
    <n v="47867"/>
    <n v="617"/>
    <n v="6.6466774716369521"/>
    <n v="6.6466774716369521"/>
  </r>
  <r>
    <x v="11"/>
    <n v="37.18"/>
    <n v="1.5109999999999999"/>
    <n v="48407"/>
    <n v="540"/>
    <n v="6.8851851851851844"/>
    <n v="6.8851851851851844"/>
  </r>
  <r>
    <x v="12"/>
    <n v="41.46"/>
    <n v="1.5109999999999999"/>
    <n v="49005"/>
    <n v="598"/>
    <n v="6.9331103678929766"/>
    <n v="6.9331103678929766"/>
  </r>
  <r>
    <x v="13"/>
    <n v="35.97"/>
    <n v="1.544"/>
    <n v="49480"/>
    <n v="475"/>
    <n v="7.5726315789473686"/>
    <n v="7.5726315789473686"/>
  </r>
  <r>
    <x v="14"/>
    <n v="38.74"/>
    <n v="1.5509999999999999"/>
    <n v="50012"/>
    <n v="532"/>
    <n v="7.2819548872180455"/>
    <n v="7.2819548872180455"/>
  </r>
  <r>
    <x v="15"/>
    <n v="36.130000000000003"/>
    <n v="1.5509999999999999"/>
    <n v="50458"/>
    <n v="446"/>
    <n v="8.1008968609865484"/>
    <n v="8.1008968609865484"/>
  </r>
  <r>
    <x v="16"/>
    <n v="38.51"/>
    <n v="1.5880000000000001"/>
    <n v="50991"/>
    <n v="533"/>
    <n v="7.2251407129455911"/>
    <n v="7.2251407129455911"/>
  </r>
  <r>
    <x v="17"/>
    <n v="38.840000000000003"/>
    <n v="1.5880000000000001"/>
    <n v="51593"/>
    <n v="602"/>
    <n v="6.4518272425249172"/>
    <n v="6.4518272425249172"/>
  </r>
  <r>
    <x v="18"/>
    <n v="41.73"/>
    <n v="1.536"/>
    <n v="52176"/>
    <n v="583"/>
    <n v="7.1578044596912509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16C34-C9E1-45D5-A28E-219B248D33EA}" name="Vrtilna tabela6" cacheId="19" dataOnRows="1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B27:I30" firstHeaderRow="1" firstDataRow="2" firstDataCol="1"/>
  <pivotFields count="9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showAll="0"/>
    <pivotField numFmtId="3" showAll="0"/>
    <pivotField dataField="1"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8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Vsota od Prevoženo" fld="4" baseField="8" baseItem="5"/>
    <dataField name="Povprečje od Poraba" fld="5" subtotal="average" baseField="8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/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5" tableBorderDxfId="4" totalsRowBorderDxfId="3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2"/>
    <tableColumn id="2" xr3:uid="{079EA12A-47EB-F54A-8E37-30D8BCE75150}" name="Bencin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0"/>
  <sheetViews>
    <sheetView tabSelected="1" topLeftCell="A22" zoomScale="120" zoomScaleNormal="120" workbookViewId="0">
      <selection activeCell="B27" sqref="B27"/>
    </sheetView>
  </sheetViews>
  <sheetFormatPr defaultColWidth="11.5546875" defaultRowHeight="14.4" x14ac:dyDescent="0.3"/>
  <cols>
    <col min="1" max="1" width="3.77734375" customWidth="1"/>
    <col min="2" max="2" width="18.44140625" bestFit="1" customWidth="1"/>
    <col min="3" max="3" width="17" bestFit="1" customWidth="1"/>
    <col min="4" max="6" width="12.109375" bestFit="1" customWidth="1"/>
    <col min="7" max="7" width="11" bestFit="1" customWidth="1"/>
    <col min="8" max="8" width="12.109375" bestFit="1" customWidth="1"/>
    <col min="9" max="9" width="12.33203125" bestFit="1" customWidth="1"/>
    <col min="10" max="13" width="18.77734375" bestFit="1" customWidth="1"/>
    <col min="14" max="14" width="23.5546875" bestFit="1" customWidth="1"/>
    <col min="15" max="15" width="24.21875" bestFit="1" customWidth="1"/>
    <col min="16" max="20" width="17" bestFit="1" customWidth="1"/>
    <col min="21" max="21" width="12.33203125" bestFit="1" customWidth="1"/>
  </cols>
  <sheetData>
    <row r="2" spans="2:11" x14ac:dyDescent="0.3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">
      <c r="B3" s="1">
        <v>45051</v>
      </c>
      <c r="C3" s="3">
        <v>41.17</v>
      </c>
      <c r="D3">
        <f>INDEX(Table3[],MATCH(realna_poraba_cupra__2[[#This Row],[Datum]],$J$3:$J$25,1),2)</f>
        <v>1.4159999999999999</v>
      </c>
      <c r="E3" s="2">
        <v>41907</v>
      </c>
      <c r="F3" t="s">
        <v>4</v>
      </c>
      <c r="G3" t="s">
        <v>4</v>
      </c>
      <c r="J3" s="1">
        <v>44930</v>
      </c>
      <c r="K3" s="4">
        <v>1.276</v>
      </c>
    </row>
    <row r="4" spans="2:11" x14ac:dyDescent="0.3">
      <c r="B4" s="1">
        <v>45059</v>
      </c>
      <c r="C4" s="3">
        <v>43.02</v>
      </c>
      <c r="D4">
        <f>INDEX(Table3[],MATCH(realna_poraba_cupra__2[[#This Row],[Datum]],$J$3:$J$25,1),2)</f>
        <v>1.39</v>
      </c>
      <c r="E4" s="2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v>7.006514657980456</v>
      </c>
      <c r="J4" s="1">
        <v>44943</v>
      </c>
      <c r="K4" s="4">
        <v>1.288</v>
      </c>
    </row>
    <row r="5" spans="2:11" x14ac:dyDescent="0.3">
      <c r="B5" s="1">
        <v>45068</v>
      </c>
      <c r="C5" s="3">
        <v>41.67</v>
      </c>
      <c r="D5">
        <f>INDEX(Table3[],MATCH(realna_poraba_cupra__2[[#This Row],[Datum]],$J$3:$J$25,1),2)</f>
        <v>1.39</v>
      </c>
      <c r="E5" s="2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v>6.3136363636363644</v>
      </c>
      <c r="J5" s="1">
        <v>44957</v>
      </c>
      <c r="K5" s="4">
        <v>1.355</v>
      </c>
    </row>
    <row r="6" spans="2:11" x14ac:dyDescent="0.3">
      <c r="B6" s="1">
        <v>45073</v>
      </c>
      <c r="C6" s="3">
        <v>34.04</v>
      </c>
      <c r="D6">
        <f>INDEX(Table3[],MATCH(realna_poraba_cupra__2[[#This Row],[Datum]],$J$3:$J$25,1),2)</f>
        <v>1.3819999999999999</v>
      </c>
      <c r="E6" s="2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v>6.6097087378640769</v>
      </c>
      <c r="J6" s="1">
        <v>44971</v>
      </c>
      <c r="K6" s="4">
        <v>1.355</v>
      </c>
    </row>
    <row r="7" spans="2:11" x14ac:dyDescent="0.3">
      <c r="B7" s="1">
        <v>45085</v>
      </c>
      <c r="C7" s="3">
        <v>42.42</v>
      </c>
      <c r="D7">
        <f>INDEX(Table3[],MATCH(realna_poraba_cupra__2[[#This Row],[Datum]],$J$3:$J$25,1),2)</f>
        <v>1.4119999999999999</v>
      </c>
      <c r="E7" s="2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v>6.8640776699029127</v>
      </c>
      <c r="J7" s="1">
        <v>44985</v>
      </c>
      <c r="K7" s="4">
        <v>1.359</v>
      </c>
    </row>
    <row r="8" spans="2:11" x14ac:dyDescent="0.3">
      <c r="B8" s="1">
        <v>45093</v>
      </c>
      <c r="C8" s="3">
        <v>43.1</v>
      </c>
      <c r="D8">
        <f>INDEX(Table3[],MATCH(realna_poraba_cupra__2[[#This Row],[Datum]],$J$3:$J$25,1),2)</f>
        <v>1.4119999999999999</v>
      </c>
      <c r="E8" s="2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v>6.3103953147877023</v>
      </c>
      <c r="J8" s="1">
        <v>44999</v>
      </c>
      <c r="K8" s="4">
        <v>1.3740000000000001</v>
      </c>
    </row>
    <row r="9" spans="2:11" x14ac:dyDescent="0.3">
      <c r="B9" s="1">
        <v>45099</v>
      </c>
      <c r="C9" s="3">
        <v>38.18</v>
      </c>
      <c r="D9">
        <f>INDEX(Table3[],MATCH(realna_poraba_cupra__2[[#This Row],[Datum]],$J$3:$J$25,1),2)</f>
        <v>1.4239999999999999</v>
      </c>
      <c r="E9" s="2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v>6.9544626593806917</v>
      </c>
      <c r="J9" s="1">
        <v>45013</v>
      </c>
      <c r="K9" s="4">
        <v>1.3740000000000001</v>
      </c>
    </row>
    <row r="10" spans="2:11" x14ac:dyDescent="0.3">
      <c r="B10" s="1">
        <v>45113</v>
      </c>
      <c r="C10" s="3">
        <v>40.659999999999997</v>
      </c>
      <c r="D10">
        <f>INDEX(Table3[],MATCH(realna_poraba_cupra__2[[#This Row],[Datum]],$J$3:$J$25,1),2)</f>
        <v>1.444</v>
      </c>
      <c r="E10" s="2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v>7.0103448275862066</v>
      </c>
      <c r="J10" s="1">
        <v>45028</v>
      </c>
      <c r="K10" s="4">
        <v>1.4159999999999999</v>
      </c>
    </row>
    <row r="11" spans="2:11" x14ac:dyDescent="0.3">
      <c r="B11" s="1">
        <v>45122</v>
      </c>
      <c r="C11" s="3">
        <v>39.17</v>
      </c>
      <c r="D11">
        <f>INDEX(Table3[],MATCH(realna_poraba_cupra__2[[#This Row],[Datum]],$J$3:$J$25,1),2)</f>
        <v>1.444</v>
      </c>
      <c r="E11" s="2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v>6.9821746880570412</v>
      </c>
      <c r="J11" s="1">
        <v>45041</v>
      </c>
      <c r="K11" s="4">
        <v>1.4159999999999999</v>
      </c>
    </row>
    <row r="12" spans="2:11" x14ac:dyDescent="0.3">
      <c r="B12" s="1">
        <v>45129</v>
      </c>
      <c r="C12" s="3">
        <v>40.29</v>
      </c>
      <c r="D12">
        <f>INDEX(Table3[],MATCH(realna_poraba_cupra__2[[#This Row],[Datum]],$J$3:$J$25,1),2)</f>
        <v>1.456</v>
      </c>
      <c r="E12" s="2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v>7.1563055062166967</v>
      </c>
      <c r="J12" s="1">
        <v>45055</v>
      </c>
      <c r="K12" s="4">
        <v>1.39</v>
      </c>
    </row>
    <row r="13" spans="2:11" x14ac:dyDescent="0.3">
      <c r="B13" s="1">
        <v>45138</v>
      </c>
      <c r="C13" s="3">
        <v>41.01</v>
      </c>
      <c r="D13">
        <f>INDEX(Table3[],MATCH(realna_poraba_cupra__2[[#This Row],[Datum]],$J$3:$J$25,1),2)</f>
        <v>1.456</v>
      </c>
      <c r="E13" s="2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v>6.6466774716369521</v>
      </c>
      <c r="J13" s="1">
        <v>45069</v>
      </c>
      <c r="K13" s="4">
        <v>1.3819999999999999</v>
      </c>
    </row>
    <row r="14" spans="2:11" x14ac:dyDescent="0.3">
      <c r="B14" s="1">
        <v>45151</v>
      </c>
      <c r="C14" s="3">
        <v>37.18</v>
      </c>
      <c r="D14">
        <f>INDEX(Table3[],MATCH(realna_poraba_cupra__2[[#This Row],[Datum]],$J$3:$J$25,1),2)</f>
        <v>1.5109999999999999</v>
      </c>
      <c r="E14" s="2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v>6.8851851851851844</v>
      </c>
      <c r="J14" s="1">
        <v>45083</v>
      </c>
      <c r="K14" s="4">
        <v>1.4119999999999999</v>
      </c>
    </row>
    <row r="15" spans="2:11" x14ac:dyDescent="0.3">
      <c r="B15" s="1">
        <v>45163</v>
      </c>
      <c r="C15" s="3">
        <v>41.46</v>
      </c>
      <c r="D15">
        <f>INDEX(Table3[],MATCH(realna_poraba_cupra__2[[#This Row],[Datum]],$J$3:$J$25,1),2)</f>
        <v>1.5109999999999999</v>
      </c>
      <c r="E15" s="2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v>6.9331103678929766</v>
      </c>
      <c r="J15" s="1">
        <v>45097</v>
      </c>
      <c r="K15" s="4">
        <v>1.4239999999999999</v>
      </c>
    </row>
    <row r="16" spans="2:11" x14ac:dyDescent="0.3">
      <c r="B16" s="1">
        <v>45175</v>
      </c>
      <c r="C16" s="3">
        <v>35.97</v>
      </c>
      <c r="D16">
        <f>INDEX(Table3[],MATCH(realna_poraba_cupra__2[[#This Row],[Datum]],$J$3:$J$25,1),2)</f>
        <v>1.544</v>
      </c>
      <c r="E16" s="2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v>7.5726315789473686</v>
      </c>
      <c r="J16" s="1">
        <v>45111</v>
      </c>
      <c r="K16" s="4">
        <v>1.444</v>
      </c>
    </row>
    <row r="17" spans="2:11" x14ac:dyDescent="0.3">
      <c r="B17" s="1">
        <v>45184</v>
      </c>
      <c r="C17" s="3">
        <v>38.74</v>
      </c>
      <c r="D17">
        <f>INDEX(Table3[],MATCH(realna_poraba_cupra__2[[#This Row],[Datum]],$J$3:$J$25,1),2)</f>
        <v>1.5509999999999999</v>
      </c>
      <c r="E17" s="2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v>7.2819548872180455</v>
      </c>
      <c r="J17" s="1">
        <v>45125</v>
      </c>
      <c r="K17" s="4">
        <v>1.456</v>
      </c>
    </row>
    <row r="18" spans="2:11" x14ac:dyDescent="0.3">
      <c r="B18" s="1">
        <v>45191</v>
      </c>
      <c r="C18" s="3">
        <v>36.130000000000003</v>
      </c>
      <c r="D18">
        <f>INDEX(Table3[],MATCH(realna_poraba_cupra__2[[#This Row],[Datum]],$J$3:$J$25,1),2)</f>
        <v>1.5509999999999999</v>
      </c>
      <c r="E18" s="2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v>8.1008968609865484</v>
      </c>
      <c r="J18" s="1">
        <v>45139</v>
      </c>
      <c r="K18" s="4">
        <v>1.5109999999999999</v>
      </c>
    </row>
    <row r="19" spans="2:11" x14ac:dyDescent="0.3">
      <c r="B19" s="1">
        <v>45198</v>
      </c>
      <c r="C19" s="3">
        <v>38.51</v>
      </c>
      <c r="D19">
        <f>INDEX(Table3[],MATCH(realna_poraba_cupra__2[[#This Row],[Datum]],$J$3:$J$25,1),2)</f>
        <v>1.5880000000000001</v>
      </c>
      <c r="E19" s="2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v>7.2251407129455911</v>
      </c>
      <c r="J19" s="1">
        <v>45155</v>
      </c>
      <c r="K19" s="4">
        <v>1.5109999999999999</v>
      </c>
    </row>
    <row r="20" spans="2:11" x14ac:dyDescent="0.3">
      <c r="B20" s="1">
        <v>45205</v>
      </c>
      <c r="C20" s="3">
        <v>38.840000000000003</v>
      </c>
      <c r="D20">
        <f>INDEX(Table3[],MATCH(realna_poraba_cupra__2[[#This Row],[Datum]],$J$3:$J$25,1),2)</f>
        <v>1.5880000000000001</v>
      </c>
      <c r="E20" s="2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v>6.4518272425249172</v>
      </c>
      <c r="J20" s="1">
        <v>45167</v>
      </c>
      <c r="K20" s="4">
        <v>1.544</v>
      </c>
    </row>
    <row r="21" spans="2:11" x14ac:dyDescent="0.3">
      <c r="B21" s="1">
        <v>45213</v>
      </c>
      <c r="C21" s="3">
        <v>41.73</v>
      </c>
      <c r="D21">
        <f>INDEX(Table3[],MATCH(realna_poraba_cupra__2[[#This Row],[Datum]],$J$3:$J$25,1),2)</f>
        <v>1.536</v>
      </c>
      <c r="E21" s="2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v>7.1578044596912509</v>
      </c>
      <c r="J21" s="1">
        <v>45181</v>
      </c>
      <c r="K21" s="4">
        <v>1.5509999999999999</v>
      </c>
    </row>
    <row r="22" spans="2:11" x14ac:dyDescent="0.3">
      <c r="J22" s="1">
        <v>45195</v>
      </c>
      <c r="K22" s="4">
        <v>1.5880000000000001</v>
      </c>
    </row>
    <row r="23" spans="2:11" x14ac:dyDescent="0.3">
      <c r="J23" s="1">
        <v>45209</v>
      </c>
      <c r="K23" s="4">
        <v>1.536</v>
      </c>
    </row>
    <row r="24" spans="2:11" x14ac:dyDescent="0.3">
      <c r="D24" s="5"/>
      <c r="E24" s="5"/>
      <c r="J24" s="1">
        <v>45223</v>
      </c>
      <c r="K24" s="4">
        <v>1.536</v>
      </c>
    </row>
    <row r="25" spans="2:11" x14ac:dyDescent="0.3">
      <c r="D25" s="5"/>
      <c r="E25" s="5"/>
      <c r="J25" s="1">
        <v>45237</v>
      </c>
      <c r="K25" s="4">
        <v>1.534</v>
      </c>
    </row>
    <row r="26" spans="2:11" x14ac:dyDescent="0.3">
      <c r="D26" s="5"/>
      <c r="E26" s="5"/>
    </row>
    <row r="27" spans="2:11" x14ac:dyDescent="0.3">
      <c r="C27" s="7" t="s">
        <v>10</v>
      </c>
    </row>
    <row r="28" spans="2:11" x14ac:dyDescent="0.3">
      <c r="B28" s="7" t="s">
        <v>20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11</v>
      </c>
    </row>
    <row r="29" spans="2:11" x14ac:dyDescent="0.3">
      <c r="B29" s="8" t="s">
        <v>18</v>
      </c>
      <c r="C29" s="6">
        <v>1789</v>
      </c>
      <c r="D29" s="6">
        <v>1850</v>
      </c>
      <c r="E29" s="6">
        <v>2321</v>
      </c>
      <c r="F29" s="6">
        <v>1138</v>
      </c>
      <c r="G29" s="6">
        <v>1986</v>
      </c>
      <c r="H29" s="6">
        <v>1185</v>
      </c>
      <c r="I29" s="6">
        <v>10269</v>
      </c>
    </row>
    <row r="30" spans="2:11" x14ac:dyDescent="0.3">
      <c r="B30" s="8" t="s">
        <v>19</v>
      </c>
      <c r="C30" s="6">
        <v>6.643286586493633</v>
      </c>
      <c r="D30" s="6">
        <v>6.7096452146904353</v>
      </c>
      <c r="E30" s="6">
        <v>6.9488756233742244</v>
      </c>
      <c r="F30" s="6">
        <v>6.909147776539081</v>
      </c>
      <c r="G30" s="6">
        <v>7.5451560100243888</v>
      </c>
      <c r="H30" s="6">
        <v>6.8048158511080841</v>
      </c>
      <c r="I30" s="6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{CEA30526-2089-49D0-9C81-F350876B3DB1}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A30526-2089-49D0-9C81-F350876B3DB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Maja Ibic</cp:lastModifiedBy>
  <dcterms:created xsi:type="dcterms:W3CDTF">2007-10-01T06:54:22Z</dcterms:created>
  <dcterms:modified xsi:type="dcterms:W3CDTF">2025-12-08T18:21:23Z</dcterms:modified>
</cp:coreProperties>
</file>